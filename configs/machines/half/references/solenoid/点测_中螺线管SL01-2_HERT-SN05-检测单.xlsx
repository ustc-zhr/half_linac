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hanghaoran\Desktop\自动调束\其它系统配合\磁测数据\检测单_注入器磁螺线管线圈与校正子\检测单_注入器磁螺线管线圈与校正子\第一版使用的螺线管\"/>
    </mc:Choice>
  </mc:AlternateContent>
  <xr:revisionPtr revIDLastSave="0" documentId="13_ncr:1_{153B1DED-52E7-4AFD-8B3C-6F4820FC8E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D38" i="1" l="1"/>
  <c r="D37" i="1"/>
  <c r="D36" i="1"/>
  <c r="D35" i="1"/>
  <c r="D34" i="1"/>
</calcChain>
</file>

<file path=xl/sharedStrings.xml><?xml version="1.0" encoding="utf-8"?>
<sst xmlns="http://schemas.openxmlformats.org/spreadsheetml/2006/main" count="52" uniqueCount="48">
  <si>
    <t>F1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</si>
  <si>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</si>
  <si>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</si>
  <si>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</si>
  <si>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Z</t>
    <phoneticPr fontId="1" type="noConversion"/>
  </si>
  <si>
    <t>Y</t>
    <phoneticPr fontId="1" type="noConversion"/>
  </si>
  <si>
    <t>X</t>
    <phoneticPr fontId="1" type="noConversion"/>
  </si>
  <si>
    <r>
      <rPr>
        <sz val="11"/>
        <color theme="1"/>
        <rFont val="宋体"/>
        <family val="3"/>
        <charset val="134"/>
      </rPr>
      <t>磁铁名称：</t>
    </r>
    <phoneticPr fontId="1" type="noConversion"/>
  </si>
  <si>
    <r>
      <rPr>
        <sz val="11"/>
        <color theme="1"/>
        <rFont val="宋体"/>
        <family val="3"/>
        <charset val="134"/>
      </rPr>
      <t>序列号：</t>
    </r>
    <phoneticPr fontId="1" type="noConversion"/>
  </si>
  <si>
    <r>
      <rPr>
        <sz val="11"/>
        <color theme="1"/>
        <rFont val="宋体"/>
        <family val="3"/>
        <charset val="134"/>
      </rPr>
      <t>额定电流：</t>
    </r>
    <phoneticPr fontId="1" type="noConversion"/>
  </si>
  <si>
    <r>
      <rPr>
        <sz val="11"/>
        <color theme="1"/>
        <rFont val="宋体"/>
        <family val="3"/>
        <charset val="134"/>
      </rPr>
      <t>磁铁类型：</t>
    </r>
    <phoneticPr fontId="1" type="noConversion"/>
  </si>
  <si>
    <r>
      <rPr>
        <sz val="11"/>
        <color theme="1"/>
        <rFont val="宋体"/>
        <family val="3"/>
        <charset val="134"/>
      </rPr>
      <t>测试人员：</t>
    </r>
    <phoneticPr fontId="1" type="noConversion"/>
  </si>
  <si>
    <r>
      <rPr>
        <sz val="11"/>
        <color theme="1"/>
        <rFont val="宋体"/>
        <family val="3"/>
        <charset val="134"/>
      </rPr>
      <t>测试时间：</t>
    </r>
    <phoneticPr fontId="1" type="noConversion"/>
  </si>
  <si>
    <r>
      <rPr>
        <sz val="11"/>
        <color theme="1"/>
        <rFont val="宋体"/>
        <family val="3"/>
        <charset val="134"/>
      </rPr>
      <t>单位：</t>
    </r>
    <r>
      <rPr>
        <sz val="11"/>
        <color theme="1"/>
        <rFont val="Times New Roman"/>
        <family val="1"/>
      </rPr>
      <t>mm</t>
    </r>
    <phoneticPr fontId="1" type="noConversion"/>
  </si>
  <si>
    <r>
      <rPr>
        <sz val="11"/>
        <color theme="1"/>
        <rFont val="宋体"/>
        <family val="3"/>
        <charset val="134"/>
      </rPr>
      <t>电流</t>
    </r>
    <r>
      <rPr>
        <sz val="11"/>
        <color theme="1"/>
        <rFont val="Times New Roman"/>
        <family val="1"/>
      </rPr>
      <t>I [A]</t>
    </r>
    <phoneticPr fontId="1" type="noConversion"/>
  </si>
  <si>
    <r>
      <rPr>
        <sz val="11"/>
        <color theme="1"/>
        <rFont val="宋体"/>
        <family val="3"/>
        <charset val="134"/>
      </rPr>
      <t>中心磁场强度</t>
    </r>
    <r>
      <rPr>
        <sz val="11"/>
        <color theme="1"/>
        <rFont val="Times New Roman"/>
        <family val="1"/>
      </rPr>
      <t>[Gs]</t>
    </r>
    <phoneticPr fontId="1" type="noConversion"/>
  </si>
  <si>
    <t>DX</t>
    <phoneticPr fontId="1" type="noConversion"/>
  </si>
  <si>
    <t>DY</t>
    <phoneticPr fontId="1" type="noConversion"/>
  </si>
  <si>
    <t>DZ</t>
    <phoneticPr fontId="1" type="noConversion"/>
  </si>
  <si>
    <r>
      <rPr>
        <sz val="11"/>
        <color theme="1"/>
        <rFont val="宋体"/>
        <family val="3"/>
        <charset val="134"/>
      </rPr>
      <t>单位：</t>
    </r>
    <r>
      <rPr>
        <sz val="11"/>
        <color theme="1"/>
        <rFont val="Times New Roman"/>
        <family val="1"/>
      </rPr>
      <t>mm</t>
    </r>
    <phoneticPr fontId="1" type="noConversion"/>
  </si>
  <si>
    <t>磁铁检测单</t>
  </si>
  <si>
    <t>准直系统标靶数据确认</t>
    <phoneticPr fontId="1" type="noConversion"/>
  </si>
  <si>
    <r>
      <rPr>
        <sz val="11"/>
        <color theme="1"/>
        <rFont val="宋体"/>
        <family val="3"/>
        <charset val="134"/>
      </rPr>
      <t>确认人（签字，日期）：</t>
    </r>
  </si>
  <si>
    <r>
      <rPr>
        <sz val="11"/>
        <color theme="1"/>
        <rFont val="Wingdings 2"/>
        <family val="1"/>
        <charset val="2"/>
      </rPr>
      <t>*</t>
    </r>
    <r>
      <rPr>
        <sz val="11"/>
        <color theme="1"/>
        <rFont val="宋体"/>
        <family val="3"/>
        <charset val="134"/>
      </rPr>
      <t>无超标项</t>
    </r>
    <phoneticPr fontId="1" type="noConversion"/>
  </si>
  <si>
    <t>无</t>
    <phoneticPr fontId="1" type="noConversion"/>
  </si>
  <si>
    <r>
      <rPr>
        <sz val="11"/>
        <color theme="1"/>
        <rFont val="宋体"/>
        <family val="3"/>
        <charset val="134"/>
      </rPr>
      <t>是否存在超标项：</t>
    </r>
    <phoneticPr fontId="1" type="noConversion"/>
  </si>
  <si>
    <r>
      <rPr>
        <sz val="11"/>
        <color theme="1"/>
        <rFont val="Wingdings 2"/>
        <family val="1"/>
        <charset val="2"/>
      </rPr>
      <t>*</t>
    </r>
    <r>
      <rPr>
        <sz val="11"/>
        <color theme="1"/>
        <rFont val="宋体"/>
        <family val="3"/>
        <charset val="134"/>
      </rPr>
      <t>存在超标项</t>
    </r>
    <phoneticPr fontId="1" type="noConversion"/>
  </si>
  <si>
    <t>最佳拟合结果的差值</t>
    <phoneticPr fontId="1" type="noConversion"/>
  </si>
  <si>
    <t>厂家靶标数据</t>
    <phoneticPr fontId="1" type="noConversion"/>
  </si>
  <si>
    <r>
      <rPr>
        <sz val="11"/>
        <color theme="1"/>
        <rFont val="宋体"/>
        <family val="3"/>
        <charset val="134"/>
      </rPr>
      <t>相对偏差</t>
    </r>
  </si>
  <si>
    <r>
      <rPr>
        <sz val="11"/>
        <color theme="1"/>
        <rFont val="宋体"/>
        <family val="3"/>
        <charset val="134"/>
      </rPr>
      <t>积分场</t>
    </r>
    <r>
      <rPr>
        <sz val="11"/>
        <color theme="1"/>
        <rFont val="Times New Roman"/>
        <family val="1"/>
      </rPr>
      <t>BzL [Gs·mm]</t>
    </r>
    <phoneticPr fontId="1" type="noConversion"/>
  </si>
  <si>
    <r>
      <rPr>
        <sz val="11"/>
        <color theme="1"/>
        <rFont val="宋体"/>
        <family val="3"/>
        <charset val="134"/>
      </rPr>
      <t>有效长度</t>
    </r>
    <r>
      <rPr>
        <sz val="11"/>
        <color theme="1"/>
        <rFont val="Times New Roman"/>
        <family val="1"/>
      </rPr>
      <t xml:space="preserve"> [mm]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</si>
  <si>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X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Y</t>
    </r>
    <r>
      <rPr>
        <sz val="11"/>
        <color theme="1"/>
        <rFont val="宋体"/>
        <family val="3"/>
        <charset val="134"/>
      </rPr>
      <t>）位置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</si>
  <si>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</si>
  <si>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峰值磁场</t>
    </r>
    <r>
      <rPr>
        <sz val="11"/>
        <color theme="1"/>
        <rFont val="Times New Roman"/>
        <family val="1"/>
      </rPr>
      <t xml:space="preserve"> [Gs]</t>
    </r>
    <phoneticPr fontId="1" type="noConversion"/>
  </si>
  <si>
    <r>
      <rPr>
        <sz val="11"/>
        <color theme="1"/>
        <rFont val="宋体"/>
        <family val="3"/>
        <charset val="134"/>
      </rPr>
      <t>积分场</t>
    </r>
    <r>
      <rPr>
        <sz val="11"/>
        <color theme="1"/>
        <rFont val="Times New Roman"/>
        <family val="1"/>
      </rPr>
      <t xml:space="preserve"> [Gs.mm]</t>
    </r>
    <phoneticPr fontId="1" type="noConversion"/>
  </si>
  <si>
    <t>中螺线管</t>
    <phoneticPr fontId="1" type="noConversion"/>
  </si>
  <si>
    <t>螺线管</t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</si>
  <si>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</si>
  <si>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-10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</si>
  <si>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</si>
  <si>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-10</t>
    </r>
    <r>
      <rPr>
        <sz val="11"/>
        <color theme="1"/>
        <rFont val="宋体"/>
        <family val="3"/>
        <charset val="134"/>
      </rPr>
      <t>）</t>
    </r>
    <phoneticPr fontId="1" type="noConversion"/>
  </si>
  <si>
    <t>纵向磁场分布@63.502A</t>
    <phoneticPr fontId="1" type="noConversion"/>
  </si>
  <si>
    <t>积分场均匀性@63.502A</t>
    <phoneticPr fontId="1" type="noConversion"/>
  </si>
  <si>
    <t>任志梁</t>
    <phoneticPr fontId="1" type="noConversion"/>
  </si>
  <si>
    <t>HERT-SN05</t>
    <phoneticPr fontId="1" type="noConversion"/>
  </si>
  <si>
    <t>2025.04.14</t>
    <phoneticPr fontId="1" type="noConversion"/>
  </si>
  <si>
    <t>励磁曲线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</si>
</sst>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0000_ "/>
    <numFmt numFmtId="178" formatCode="0.000E+00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Wingdings 2"/>
      <family val="1"/>
      <charset val="2"/>
    </font>
    <font>
      <sz val="11"/>
      <color theme="1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  <font>
      <sz val="11"/>
      <color theme="1"/>
      <name val="Times New Roman"/>
      <family val="1"/>
    </font>
    <font>
      <sz val="18"/>
      <color theme="1"/>
      <name val="等线"/>
      <family val="3"/>
      <charset val="134"/>
      <scheme val="minor"/>
    </font>
    <font>
      <sz val="11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11" fontId="5" fillId="0" borderId="0" xfId="0" applyNumberFormat="1" applyFo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1" xfId="1" applyNumberFormat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2" xfId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1" fontId="4" fillId="0" borderId="1" xfId="1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1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励磁曲线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Sheet1!$B$21:$B$28</c:f>
              <c:numCache>
                <c:formatCode>0.000_ </c:formatCode>
                <c:ptCount val="8"/>
                <c:pt idx="0">
                  <c:v>1.364505E-3</c:v>
                </c:pt>
                <c:pt idx="1">
                  <c:v>10.014259555000001</c:v>
                </c:pt>
                <c:pt idx="2">
                  <c:v>20.012032274999999</c:v>
                </c:pt>
                <c:pt idx="3">
                  <c:v>30.009804995</c:v>
                </c:pt>
                <c:pt idx="4">
                  <c:v>40.007577715000004</c:v>
                </c:pt>
                <c:pt idx="5">
                  <c:v>50.005350435000004</c:v>
                </c:pt>
                <c:pt idx="6">
                  <c:v>63.502343607</c:v>
                </c:pt>
                <c:pt idx="7">
                  <c:v>74.000004962999995</c:v>
                </c:pt>
              </c:numCache>
            </c:numRef>
          </c:xVal>
          <c:yVal>
            <c:numRef>
              <c:f>Sheet1!$C$21:$C$28</c:f>
              <c:numCache>
                <c:formatCode>0.000_ </c:formatCode>
                <c:ptCount val="8"/>
                <c:pt idx="0">
                  <c:v>-0.80909090909090897</c:v>
                </c:pt>
                <c:pt idx="1">
                  <c:v>-159.05999999999997</c:v>
                </c:pt>
                <c:pt idx="2">
                  <c:v>-317.63000000000005</c:v>
                </c:pt>
                <c:pt idx="3">
                  <c:v>-476.35363636363638</c:v>
                </c:pt>
                <c:pt idx="4">
                  <c:v>-635.03545454545451</c:v>
                </c:pt>
                <c:pt idx="5">
                  <c:v>-793.73181818181808</c:v>
                </c:pt>
                <c:pt idx="6">
                  <c:v>-1007.8845454545454</c:v>
                </c:pt>
                <c:pt idx="7">
                  <c:v>-1174.2445454545452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BC-4526-8057-96672E825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75151"/>
        <c:axId val="410025552"/>
      </c:scatterChart>
      <c:valAx>
        <c:axId val="151837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I [A]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0025552"/>
        <c:crosses val="autoZero"/>
        <c:crossBetween val="midCat"/>
      </c:valAx>
      <c:valAx>
        <c:axId val="41002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中心磁场强度</a:t>
                </a:r>
                <a:r>
                  <a:rPr lang="en-US" altLang="zh-CN"/>
                  <a:t>[Gs]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837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681037</xdr:colOff>
      <xdr:row>26</xdr:row>
      <xdr:rowOff>38100</xdr:rowOff>
    </xdr:from>
    <xdr:to>
      <xdr:col>13</xdr:col>
      <xdr:colOff>300037</xdr:colOff>
      <xdr:row>40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C69753-4365-C0CB-CC4C-9E220C9C4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31215;&#20998;&#22330;&#22343;&#21248;&#24615;@63.502A" TargetMode="External"/><Relationship Id="rId2" Type="http://schemas.openxmlformats.org/officeDocument/2006/relationships/hyperlink" Target="mailto:&#32437;&#21521;&#30913;&#22330;&#20998;&#24067;@63.502A" TargetMode="External"/><Relationship Id="rId1" Type="http://schemas.openxmlformats.org/officeDocument/2006/relationships/hyperlink" Target="mailto:&#31215;&#20998;&#22330;BzL@7.521A%20[Gs&#183;mm]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7" workbookViewId="0">
      <selection activeCell="L46" sqref="L46"/>
    </sheetView>
  </sheetViews>
  <sheetFormatPr defaultRowHeight="14.25" x14ac:dyDescent="0.2"/>
  <cols>
    <col min="1" max="1" width="20.625" customWidth="1"/>
    <col min="2" max="6" width="16.625" customWidth="1"/>
    <col min="7" max="7" width="14.125" customWidth="1"/>
    <col min="8" max="8" width="12.375" customWidth="1"/>
    <col min="9" max="9" width="15.125" customWidth="1"/>
    <col min="10" max="10" width="10.5" customWidth="1"/>
  </cols>
  <sheetData>
    <row r="1" spans="1:6" ht="23.25" x14ac:dyDescent="0.2">
      <c r="A1" s="29" t="s">
        <v>20</v>
      </c>
      <c r="B1" s="29"/>
      <c r="C1" s="29"/>
      <c r="D1" s="29"/>
      <c r="E1" s="29"/>
      <c r="F1" s="29"/>
    </row>
    <row r="2" spans="1:6" ht="15" x14ac:dyDescent="0.2">
      <c r="A2" s="7" t="s">
        <v>7</v>
      </c>
      <c r="B2" s="8" t="s">
        <v>36</v>
      </c>
      <c r="C2" s="2"/>
      <c r="D2" s="2"/>
      <c r="E2" s="2"/>
      <c r="F2" s="2"/>
    </row>
    <row r="3" spans="1:6" ht="15" x14ac:dyDescent="0.2">
      <c r="A3" s="7" t="s">
        <v>8</v>
      </c>
      <c r="B3" s="7" t="s">
        <v>45</v>
      </c>
      <c r="C3" s="2"/>
      <c r="D3" s="2"/>
      <c r="E3" s="2"/>
      <c r="F3" s="2"/>
    </row>
    <row r="4" spans="1:6" ht="15" x14ac:dyDescent="0.2">
      <c r="A4" s="7" t="s">
        <v>10</v>
      </c>
      <c r="B4" s="8" t="s">
        <v>37</v>
      </c>
      <c r="C4" s="2"/>
      <c r="D4" s="2"/>
      <c r="E4" s="2"/>
      <c r="F4" s="2"/>
    </row>
    <row r="5" spans="1:6" ht="15" x14ac:dyDescent="0.2">
      <c r="A5" s="7" t="s">
        <v>9</v>
      </c>
      <c r="B5" s="7"/>
      <c r="C5" s="2"/>
      <c r="D5" s="2"/>
      <c r="E5" s="2"/>
      <c r="F5" s="2"/>
    </row>
    <row r="6" spans="1:6" ht="15" x14ac:dyDescent="0.2">
      <c r="A6" s="7" t="s">
        <v>12</v>
      </c>
      <c r="B6" s="7" t="s">
        <v>46</v>
      </c>
      <c r="C6" s="2"/>
      <c r="D6" s="2"/>
      <c r="E6" s="2"/>
      <c r="F6" s="2"/>
    </row>
    <row r="7" spans="1:6" ht="15" x14ac:dyDescent="0.2">
      <c r="A7" s="7" t="s">
        <v>11</v>
      </c>
      <c r="B7" s="8" t="s">
        <v>44</v>
      </c>
      <c r="C7" s="2"/>
      <c r="D7" s="2"/>
      <c r="E7" s="2"/>
      <c r="F7" s="2"/>
    </row>
    <row r="8" spans="1:6" ht="15" x14ac:dyDescent="0.2">
      <c r="A8" s="2"/>
      <c r="B8" s="2"/>
      <c r="C8" s="2"/>
      <c r="D8" s="2"/>
      <c r="E8" s="2"/>
      <c r="F8" s="2"/>
    </row>
    <row r="9" spans="1:6" ht="15" x14ac:dyDescent="0.2">
      <c r="A9" s="34" t="s">
        <v>28</v>
      </c>
      <c r="B9" s="7"/>
      <c r="C9" s="7" t="s">
        <v>6</v>
      </c>
      <c r="D9" s="7" t="s">
        <v>5</v>
      </c>
      <c r="E9" s="7" t="s">
        <v>4</v>
      </c>
      <c r="F9" s="7" t="s">
        <v>13</v>
      </c>
    </row>
    <row r="10" spans="1:6" ht="15" x14ac:dyDescent="0.2">
      <c r="A10" s="35"/>
      <c r="B10" s="7" t="s">
        <v>0</v>
      </c>
      <c r="C10" s="9">
        <v>-123.916</v>
      </c>
      <c r="D10" s="9">
        <v>317.36</v>
      </c>
      <c r="E10" s="9">
        <v>164.643</v>
      </c>
      <c r="F10" s="24"/>
    </row>
    <row r="11" spans="1:6" ht="15" x14ac:dyDescent="0.2">
      <c r="A11" s="35"/>
      <c r="B11" s="7" t="s">
        <v>1</v>
      </c>
      <c r="C11" s="9">
        <v>-124.0245</v>
      </c>
      <c r="D11" s="9">
        <v>317.32</v>
      </c>
      <c r="E11" s="9">
        <v>-164.32550000000001</v>
      </c>
      <c r="F11" s="25"/>
    </row>
    <row r="12" spans="1:6" ht="15" x14ac:dyDescent="0.2">
      <c r="A12" s="35"/>
      <c r="B12" s="7" t="s">
        <v>2</v>
      </c>
      <c r="C12" s="9">
        <v>122.91549999999999</v>
      </c>
      <c r="D12" s="9">
        <v>317.44</v>
      </c>
      <c r="E12" s="9">
        <v>-164.47499999999999</v>
      </c>
      <c r="F12" s="25"/>
    </row>
    <row r="13" spans="1:6" ht="15" x14ac:dyDescent="0.2">
      <c r="A13" s="36"/>
      <c r="B13" s="7" t="s">
        <v>3</v>
      </c>
      <c r="C13" s="9">
        <v>122.8155</v>
      </c>
      <c r="D13" s="9">
        <v>317.31099999999998</v>
      </c>
      <c r="E13" s="9">
        <v>164.93450000000001</v>
      </c>
      <c r="F13" s="26"/>
    </row>
    <row r="14" spans="1:6" ht="15" x14ac:dyDescent="0.2">
      <c r="A14" s="33" t="s">
        <v>27</v>
      </c>
      <c r="B14" s="7"/>
      <c r="C14" s="12" t="s">
        <v>16</v>
      </c>
      <c r="D14" s="12" t="s">
        <v>17</v>
      </c>
      <c r="E14" s="12" t="s">
        <v>18</v>
      </c>
      <c r="F14" s="12" t="s">
        <v>19</v>
      </c>
    </row>
    <row r="15" spans="1:6" ht="15" x14ac:dyDescent="0.2">
      <c r="A15" s="33"/>
      <c r="B15" s="7" t="s">
        <v>0</v>
      </c>
      <c r="C15" s="9">
        <v>-1.6E-2</v>
      </c>
      <c r="D15" s="9">
        <v>4.0000000000000001E-3</v>
      </c>
      <c r="E15" s="9">
        <v>1.0999999999999999E-2</v>
      </c>
      <c r="F15" s="21"/>
    </row>
    <row r="16" spans="1:6" ht="15" x14ac:dyDescent="0.2">
      <c r="A16" s="33"/>
      <c r="B16" s="7" t="s">
        <v>1</v>
      </c>
      <c r="C16" s="9">
        <v>-1.4E-2</v>
      </c>
      <c r="D16" s="9">
        <v>-4.0000000000000001E-3</v>
      </c>
      <c r="E16" s="9">
        <v>1E-3</v>
      </c>
      <c r="F16" s="21"/>
    </row>
    <row r="17" spans="1:6" ht="15" x14ac:dyDescent="0.2">
      <c r="A17" s="33"/>
      <c r="B17" s="7" t="s">
        <v>2</v>
      </c>
      <c r="C17" s="9">
        <v>2.3E-2</v>
      </c>
      <c r="D17" s="9">
        <v>4.0000000000000001E-3</v>
      </c>
      <c r="E17" s="9">
        <v>-8.9999999999999993E-3</v>
      </c>
      <c r="F17" s="21"/>
    </row>
    <row r="18" spans="1:6" ht="15" x14ac:dyDescent="0.2">
      <c r="A18" s="33"/>
      <c r="B18" s="7" t="s">
        <v>3</v>
      </c>
      <c r="C18" s="9">
        <v>6.0000000000000001E-3</v>
      </c>
      <c r="D18" s="9">
        <v>-4.0000000000000001E-3</v>
      </c>
      <c r="E18" s="9">
        <v>-3.0000000000000001E-3</v>
      </c>
      <c r="F18" s="21"/>
    </row>
    <row r="19" spans="1:6" ht="15" x14ac:dyDescent="0.2">
      <c r="A19" s="2"/>
      <c r="B19" s="2"/>
      <c r="C19" s="2"/>
      <c r="D19" s="2"/>
      <c r="E19" s="2"/>
      <c r="F19" s="2"/>
    </row>
    <row r="20" spans="1:6" ht="15" x14ac:dyDescent="0.2">
      <c r="A20" s="34" t="s">
        <v>47</v>
      </c>
      <c r="B20" s="37" t="s">
        <v>14</v>
      </c>
      <c r="C20" s="37" t="s">
        <v>15</v>
      </c>
      <c r="D20" s="3"/>
      <c r="E20" s="2"/>
      <c r="F20" s="3"/>
    </row>
    <row r="21" spans="1:6" ht="15" x14ac:dyDescent="0.2">
      <c r="A21" s="27"/>
      <c r="B21" s="9">
        <v>1.364505E-3</v>
      </c>
      <c r="C21" s="9">
        <v>-0.80909090909090897</v>
      </c>
      <c r="D21" s="4"/>
      <c r="E21" s="4"/>
      <c r="F21" s="4"/>
    </row>
    <row r="22" spans="1:6" ht="15" x14ac:dyDescent="0.2">
      <c r="A22" s="27"/>
      <c r="B22" s="9">
        <v>10.014259555000001</v>
      </c>
      <c r="C22" s="9">
        <v>-159.05999999999997</v>
      </c>
      <c r="D22" s="4"/>
      <c r="E22" s="4"/>
      <c r="F22" s="4"/>
    </row>
    <row r="23" spans="1:6" ht="15" x14ac:dyDescent="0.2">
      <c r="A23" s="27"/>
      <c r="B23" s="9">
        <v>20.012032274999999</v>
      </c>
      <c r="C23" s="9">
        <v>-317.63000000000005</v>
      </c>
      <c r="D23" s="4"/>
      <c r="E23" s="4"/>
      <c r="F23" s="4"/>
    </row>
    <row r="24" spans="1:6" ht="15" x14ac:dyDescent="0.2">
      <c r="A24" s="27"/>
      <c r="B24" s="9">
        <v>30.009804995</v>
      </c>
      <c r="C24" s="9">
        <v>-476.35363636363638</v>
      </c>
      <c r="D24" s="4"/>
      <c r="E24" s="4"/>
      <c r="F24" s="4"/>
    </row>
    <row r="25" spans="1:6" ht="15" x14ac:dyDescent="0.2">
      <c r="A25" s="27"/>
      <c r="B25" s="9">
        <v>40.007577715000004</v>
      </c>
      <c r="C25" s="9">
        <v>-635.03545454545451</v>
      </c>
      <c r="D25" s="4"/>
      <c r="E25" s="4"/>
      <c r="F25" s="4"/>
    </row>
    <row r="26" spans="1:6" ht="15" x14ac:dyDescent="0.2">
      <c r="A26" s="27"/>
      <c r="B26" s="9">
        <v>50.005350435000004</v>
      </c>
      <c r="C26" s="9">
        <v>-793.73181818181808</v>
      </c>
      <c r="D26" s="4"/>
      <c r="E26" s="4"/>
      <c r="F26" s="4"/>
    </row>
    <row r="27" spans="1:6" ht="15" x14ac:dyDescent="0.2">
      <c r="A27" s="27"/>
      <c r="B27" s="9">
        <v>63.502343607</v>
      </c>
      <c r="C27" s="9">
        <v>-1007.8845454545454</v>
      </c>
      <c r="D27" s="4"/>
      <c r="E27" s="4"/>
      <c r="F27" s="4"/>
    </row>
    <row r="28" spans="1:6" ht="15" x14ac:dyDescent="0.2">
      <c r="A28" s="28"/>
      <c r="B28" s="9">
        <v>74.000004962999995</v>
      </c>
      <c r="C28" s="9">
        <v>-1174.2445454545452</v>
      </c>
      <c r="D28" s="4"/>
      <c r="E28" s="4"/>
      <c r="F28" s="4"/>
    </row>
    <row r="29" spans="1:6" ht="15" x14ac:dyDescent="0.2">
      <c r="A29" s="6"/>
      <c r="B29" s="13"/>
      <c r="C29" s="13"/>
      <c r="D29" s="4"/>
      <c r="E29" s="4"/>
      <c r="F29" s="4"/>
    </row>
    <row r="30" spans="1:6" ht="15" x14ac:dyDescent="0.2">
      <c r="A30" s="30" t="s">
        <v>42</v>
      </c>
      <c r="B30" s="14" t="s">
        <v>30</v>
      </c>
      <c r="C30" s="9" t="s">
        <v>34</v>
      </c>
      <c r="D30" s="16" t="s">
        <v>31</v>
      </c>
      <c r="E30" s="4"/>
    </row>
    <row r="31" spans="1:6" ht="15" x14ac:dyDescent="0.2">
      <c r="A31" s="31"/>
      <c r="B31" s="13">
        <v>-401333.97597950499</v>
      </c>
      <c r="C31" s="13">
        <v>-1007.7643389999999</v>
      </c>
      <c r="D31" s="13">
        <f>B31/C31</f>
        <v>398.24189093429015</v>
      </c>
      <c r="E31" s="4"/>
    </row>
    <row r="32" spans="1:6" ht="15" x14ac:dyDescent="0.2">
      <c r="A32" s="15"/>
      <c r="B32" s="13"/>
      <c r="C32" s="4"/>
      <c r="D32" s="4"/>
      <c r="E32" s="4"/>
      <c r="F32" s="4"/>
    </row>
    <row r="33" spans="1:6" ht="15" x14ac:dyDescent="0.2">
      <c r="A33" s="32" t="s">
        <v>43</v>
      </c>
      <c r="B33" s="9" t="s">
        <v>32</v>
      </c>
      <c r="C33" s="12" t="s">
        <v>35</v>
      </c>
      <c r="D33" s="12" t="s">
        <v>29</v>
      </c>
      <c r="E33" s="6"/>
      <c r="F33" s="2"/>
    </row>
    <row r="34" spans="1:6" ht="15" x14ac:dyDescent="0.2">
      <c r="A34" s="18"/>
      <c r="B34" s="9" t="s">
        <v>33</v>
      </c>
      <c r="C34" s="13">
        <v>-401333.97597950499</v>
      </c>
      <c r="D34" s="17">
        <f>C34/-401333.975979505-1</f>
        <v>0</v>
      </c>
      <c r="E34" s="6"/>
      <c r="F34" s="2"/>
    </row>
    <row r="35" spans="1:6" ht="15" x14ac:dyDescent="0.2">
      <c r="A35" s="18"/>
      <c r="B35" s="9" t="s">
        <v>38</v>
      </c>
      <c r="C35" s="9">
        <v>-401329.28590319399</v>
      </c>
      <c r="D35" s="17">
        <f t="shared" ref="D35:D38" si="0">C35/-401333.975979505-1</f>
        <v>-1.1686217942452615E-5</v>
      </c>
      <c r="E35" s="6"/>
      <c r="F35" s="2"/>
    </row>
    <row r="36" spans="1:6" ht="15" x14ac:dyDescent="0.2">
      <c r="A36" s="18"/>
      <c r="B36" s="9" t="s">
        <v>39</v>
      </c>
      <c r="C36" s="9">
        <v>-401345.380216953</v>
      </c>
      <c r="D36" s="17">
        <f t="shared" si="0"/>
        <v>2.8415828538186361E-5</v>
      </c>
      <c r="E36" s="6"/>
      <c r="F36" s="2"/>
    </row>
    <row r="37" spans="1:6" ht="15" x14ac:dyDescent="0.2">
      <c r="A37" s="18"/>
      <c r="B37" s="9" t="s">
        <v>40</v>
      </c>
      <c r="C37" s="9">
        <v>-401334.60477591102</v>
      </c>
      <c r="D37" s="17">
        <f t="shared" si="0"/>
        <v>1.566765944760462E-6</v>
      </c>
      <c r="E37" s="6"/>
      <c r="F37" s="2"/>
    </row>
    <row r="38" spans="1:6" ht="15" x14ac:dyDescent="0.2">
      <c r="A38" s="18"/>
      <c r="B38" s="9" t="s">
        <v>41</v>
      </c>
      <c r="C38" s="9">
        <v>-401334.46840802202</v>
      </c>
      <c r="D38" s="17">
        <f t="shared" si="0"/>
        <v>1.2269793900898662E-6</v>
      </c>
      <c r="E38" s="6"/>
      <c r="F38" s="2"/>
    </row>
    <row r="39" spans="1:6" ht="15" x14ac:dyDescent="0.2">
      <c r="A39" s="5"/>
      <c r="B39" s="6"/>
      <c r="C39" s="6"/>
      <c r="D39" s="2"/>
      <c r="E39" s="2"/>
      <c r="F39" s="2"/>
    </row>
    <row r="40" spans="1:6" x14ac:dyDescent="0.2">
      <c r="A40" s="22" t="s">
        <v>21</v>
      </c>
      <c r="B40" s="20" t="s">
        <v>22</v>
      </c>
      <c r="C40" s="20"/>
      <c r="D40" s="20"/>
      <c r="E40" s="20"/>
      <c r="F40" s="20"/>
    </row>
    <row r="41" spans="1:6" x14ac:dyDescent="0.2">
      <c r="A41" s="23"/>
      <c r="B41" s="20"/>
      <c r="C41" s="20"/>
      <c r="D41" s="20"/>
      <c r="E41" s="20"/>
      <c r="F41" s="20"/>
    </row>
    <row r="42" spans="1:6" ht="15" x14ac:dyDescent="0.2">
      <c r="A42" s="10"/>
      <c r="B42" s="2"/>
      <c r="C42" s="2"/>
      <c r="D42" s="2"/>
      <c r="E42" s="2"/>
    </row>
    <row r="43" spans="1:6" ht="15" x14ac:dyDescent="0.2">
      <c r="A43" s="18" t="s">
        <v>25</v>
      </c>
      <c r="B43" s="11" t="s">
        <v>23</v>
      </c>
      <c r="C43" s="19" t="s">
        <v>24</v>
      </c>
      <c r="D43" s="19"/>
      <c r="E43" s="19"/>
      <c r="F43" s="19"/>
    </row>
    <row r="44" spans="1:6" x14ac:dyDescent="0.2">
      <c r="A44" s="18"/>
      <c r="B44" s="20" t="s">
        <v>26</v>
      </c>
      <c r="C44" s="21"/>
      <c r="D44" s="21"/>
      <c r="E44" s="21"/>
      <c r="F44" s="21"/>
    </row>
    <row r="45" spans="1:6" x14ac:dyDescent="0.2">
      <c r="A45" s="18"/>
      <c r="B45" s="20"/>
      <c r="C45" s="21"/>
      <c r="D45" s="21"/>
      <c r="E45" s="21"/>
      <c r="F45" s="21"/>
    </row>
    <row r="46" spans="1:6" x14ac:dyDescent="0.2">
      <c r="A46" s="1"/>
    </row>
    <row r="47" spans="1:6" x14ac:dyDescent="0.2">
      <c r="A47" s="1"/>
    </row>
    <row r="48" spans="1:6" x14ac:dyDescent="0.2">
      <c r="A48" s="1"/>
    </row>
    <row r="49" spans="1:1" x14ac:dyDescent="0.2">
      <c r="A49" s="1"/>
    </row>
  </sheetData>
  <mergeCells count="14">
    <mergeCell ref="F10:F13"/>
    <mergeCell ref="F15:F18"/>
    <mergeCell ref="A20:A28"/>
    <mergeCell ref="A1:F1"/>
    <mergeCell ref="B40:F41"/>
    <mergeCell ref="A30:A31"/>
    <mergeCell ref="A33:A38"/>
    <mergeCell ref="A14:A18"/>
    <mergeCell ref="A9:A13"/>
    <mergeCell ref="A43:A45"/>
    <mergeCell ref="C43:F43"/>
    <mergeCell ref="B44:B45"/>
    <mergeCell ref="C44:F45"/>
    <mergeCell ref="A40:A41"/>
  </mergeCells>
  <phoneticPr fontId="1" type="noConversion"/>
  <hyperlinks>
    <hyperlink ref="B30" r:id="rId1" display="积分场BzL@7.521A [Gs·mm]" xr:uid="{00000000-0004-0000-0000-000000000000}"/>
    <hyperlink ref="A30" r:id="rId2" xr:uid="{00000000-0004-0000-0000-000001000000}"/>
    <hyperlink ref="A33" r:id="rId3" xr:uid="{00000000-0004-0000-0000-000002000000}"/>
  </hyperlinks>
  <pageMargins left="0.7" right="0.7" top="0.75" bottom="0.75" header="0.3" footer="0.3"/>
  <pageSetup paperSize="9" orientation="portrait" horizontalDpi="4294967293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zhr nirvana</cp:lastModifiedBy>
  <dcterms:created xsi:type="dcterms:W3CDTF">2025-03-12T06:07:19Z</dcterms:created>
  <dcterms:modified xsi:type="dcterms:W3CDTF">2026-08-20T06:45:17Z</dcterms:modified>
</cp:coreProperties>
</file>