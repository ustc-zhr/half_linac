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zhanghaoran\Desktop\自动调束\其它系统配合\磁测数据\检测单_注入器磁螺线管线圈与校正子\检测单_注入器磁螺线管线圈与校正子\"/>
    </mc:Choice>
  </mc:AlternateContent>
  <xr:revisionPtr revIDLastSave="0" documentId="13_ncr:1_{473CF20F-4CA1-467E-94B8-94AA927229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6" i="1" l="1"/>
  <c r="D53" i="1"/>
  <c r="D52" i="1"/>
  <c r="D51" i="1"/>
  <c r="D50" i="1"/>
  <c r="D49" i="1"/>
</calcChain>
</file>

<file path=xl/sharedStrings.xml><?xml version="1.0" encoding="utf-8"?>
<sst xmlns="http://schemas.openxmlformats.org/spreadsheetml/2006/main" count="69" uniqueCount="57">
  <si>
    <t>F1</t>
    <phoneticPr fontId="1" type="noConversion"/>
  </si>
  <si>
    <t>F2</t>
    <phoneticPr fontId="1" type="noConversion"/>
  </si>
  <si>
    <t>F3</t>
    <phoneticPr fontId="1" type="noConversion"/>
  </si>
  <si>
    <t>F4</t>
    <phoneticPr fontId="1" type="noConversion"/>
  </si>
  <si>
    <t>Z</t>
    <phoneticPr fontId="1" type="noConversion"/>
  </si>
  <si>
    <t>Y</t>
    <phoneticPr fontId="1" type="noConversion"/>
  </si>
  <si>
    <t>X</t>
    <phoneticPr fontId="1" type="noConversion"/>
  </si>
  <si>
    <r>
      <rPr>
        <sz val="11"/>
        <color theme="1"/>
        <rFont val="宋体"/>
        <family val="3"/>
        <charset val="134"/>
      </rPr>
      <t>磁铁名称：</t>
    </r>
    <phoneticPr fontId="1" type="noConversion"/>
  </si>
  <si>
    <r>
      <rPr>
        <sz val="11"/>
        <color theme="1"/>
        <rFont val="宋体"/>
        <family val="3"/>
        <charset val="134"/>
      </rPr>
      <t>序列号：</t>
    </r>
    <phoneticPr fontId="1" type="noConversion"/>
  </si>
  <si>
    <r>
      <rPr>
        <sz val="11"/>
        <color theme="1"/>
        <rFont val="宋体"/>
        <family val="3"/>
        <charset val="134"/>
      </rPr>
      <t>额定电流：</t>
    </r>
    <phoneticPr fontId="1" type="noConversion"/>
  </si>
  <si>
    <r>
      <rPr>
        <sz val="11"/>
        <color theme="1"/>
        <rFont val="宋体"/>
        <family val="3"/>
        <charset val="134"/>
      </rPr>
      <t>磁铁类型：</t>
    </r>
    <phoneticPr fontId="1" type="noConversion"/>
  </si>
  <si>
    <r>
      <rPr>
        <sz val="11"/>
        <color theme="1"/>
        <rFont val="宋体"/>
        <family val="3"/>
        <charset val="134"/>
      </rPr>
      <t>测试人员：</t>
    </r>
    <phoneticPr fontId="1" type="noConversion"/>
  </si>
  <si>
    <r>
      <rPr>
        <sz val="11"/>
        <color theme="1"/>
        <rFont val="宋体"/>
        <family val="3"/>
        <charset val="134"/>
      </rPr>
      <t>任志梁</t>
    </r>
    <phoneticPr fontId="1" type="noConversion"/>
  </si>
  <si>
    <r>
      <rPr>
        <sz val="11"/>
        <color theme="1"/>
        <rFont val="宋体"/>
        <family val="3"/>
        <charset val="134"/>
      </rPr>
      <t>测试时间：</t>
    </r>
    <phoneticPr fontId="1" type="noConversion"/>
  </si>
  <si>
    <r>
      <rPr>
        <sz val="11"/>
        <color theme="1"/>
        <rFont val="宋体"/>
        <family val="3"/>
        <charset val="134"/>
      </rPr>
      <t>单位：</t>
    </r>
    <r>
      <rPr>
        <sz val="11"/>
        <color theme="1"/>
        <rFont val="Times New Roman"/>
        <family val="1"/>
      </rPr>
      <t>mm</t>
    </r>
    <phoneticPr fontId="1" type="noConversion"/>
  </si>
  <si>
    <r>
      <rPr>
        <sz val="11"/>
        <color theme="1"/>
        <rFont val="宋体"/>
        <family val="3"/>
        <charset val="134"/>
      </rPr>
      <t>电流</t>
    </r>
    <r>
      <rPr>
        <sz val="11"/>
        <color theme="1"/>
        <rFont val="Times New Roman"/>
        <family val="1"/>
      </rPr>
      <t>I [A]</t>
    </r>
    <phoneticPr fontId="1" type="noConversion"/>
  </si>
  <si>
    <t>短磁透镜</t>
    <phoneticPr fontId="1" type="noConversion"/>
  </si>
  <si>
    <t>短磁透镜</t>
    <phoneticPr fontId="1" type="noConversion"/>
  </si>
  <si>
    <t>F5</t>
  </si>
  <si>
    <t>F6</t>
  </si>
  <si>
    <t>F7</t>
  </si>
  <si>
    <t>F8</t>
  </si>
  <si>
    <t>F9</t>
  </si>
  <si>
    <t>F10</t>
  </si>
  <si>
    <t>F11</t>
  </si>
  <si>
    <t>F12</t>
  </si>
  <si>
    <r>
      <rPr>
        <sz val="11"/>
        <color theme="1"/>
        <rFont val="宋体"/>
        <family val="3"/>
        <charset val="134"/>
      </rPr>
      <t>励磁曲线</t>
    </r>
    <phoneticPr fontId="1" type="noConversion"/>
  </si>
  <si>
    <r>
      <rPr>
        <sz val="11"/>
        <color theme="1"/>
        <rFont val="宋体"/>
        <family val="3"/>
        <charset val="134"/>
      </rPr>
      <t>中心磁场强度</t>
    </r>
    <r>
      <rPr>
        <sz val="11"/>
        <color theme="1"/>
        <rFont val="Times New Roman"/>
        <family val="1"/>
      </rPr>
      <t>[Gs]</t>
    </r>
    <phoneticPr fontId="1" type="noConversion"/>
  </si>
  <si>
    <t>DX</t>
    <phoneticPr fontId="1" type="noConversion"/>
  </si>
  <si>
    <t>DY</t>
    <phoneticPr fontId="1" type="noConversion"/>
  </si>
  <si>
    <t>DZ</t>
    <phoneticPr fontId="1" type="noConversion"/>
  </si>
  <si>
    <r>
      <rPr>
        <sz val="11"/>
        <color theme="1"/>
        <rFont val="宋体"/>
        <family val="3"/>
        <charset val="134"/>
      </rPr>
      <t>单位：</t>
    </r>
    <r>
      <rPr>
        <sz val="11"/>
        <color theme="1"/>
        <rFont val="Times New Roman"/>
        <family val="1"/>
      </rPr>
      <t>mm</t>
    </r>
    <phoneticPr fontId="1" type="noConversion"/>
  </si>
  <si>
    <t>磁铁检测单</t>
  </si>
  <si>
    <t>采用厂家标定数据</t>
    <phoneticPr fontId="1" type="noConversion"/>
  </si>
  <si>
    <t>准直系统标靶数据确认</t>
    <phoneticPr fontId="1" type="noConversion"/>
  </si>
  <si>
    <r>
      <rPr>
        <sz val="11"/>
        <color theme="1"/>
        <rFont val="宋体"/>
        <family val="3"/>
        <charset val="134"/>
      </rPr>
      <t>确认人（签字，日期）：</t>
    </r>
  </si>
  <si>
    <r>
      <rPr>
        <sz val="11"/>
        <color theme="1"/>
        <rFont val="Wingdings 2"/>
        <family val="1"/>
        <charset val="2"/>
      </rPr>
      <t>*</t>
    </r>
    <r>
      <rPr>
        <sz val="11"/>
        <color theme="1"/>
        <rFont val="宋体"/>
        <family val="3"/>
        <charset val="134"/>
      </rPr>
      <t>无超标项</t>
    </r>
    <phoneticPr fontId="1" type="noConversion"/>
  </si>
  <si>
    <t>无</t>
    <phoneticPr fontId="1" type="noConversion"/>
  </si>
  <si>
    <r>
      <rPr>
        <sz val="11"/>
        <color theme="1"/>
        <rFont val="宋体"/>
        <family val="3"/>
        <charset val="134"/>
      </rPr>
      <t>是否存在超标项：</t>
    </r>
    <phoneticPr fontId="1" type="noConversion"/>
  </si>
  <si>
    <r>
      <rPr>
        <sz val="11"/>
        <color theme="1"/>
        <rFont val="Wingdings 2"/>
        <family val="1"/>
        <charset val="2"/>
      </rPr>
      <t>*</t>
    </r>
    <r>
      <rPr>
        <sz val="11"/>
        <color theme="1"/>
        <rFont val="宋体"/>
        <family val="3"/>
        <charset val="134"/>
      </rPr>
      <t>存在超标项</t>
    </r>
    <phoneticPr fontId="1" type="noConversion"/>
  </si>
  <si>
    <t>最佳拟合结果的差值</t>
    <phoneticPr fontId="1" type="noConversion"/>
  </si>
  <si>
    <t>厂家靶标数据</t>
    <phoneticPr fontId="1" type="noConversion"/>
  </si>
  <si>
    <r>
      <rPr>
        <sz val="11"/>
        <color theme="1"/>
        <rFont val="宋体"/>
        <family val="3"/>
        <charset val="134"/>
      </rPr>
      <t>相对偏差</t>
    </r>
  </si>
  <si>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-5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0</t>
    </r>
    <r>
      <rPr>
        <sz val="11"/>
        <color theme="1"/>
        <rFont val="宋体"/>
        <family val="3"/>
        <charset val="134"/>
      </rPr>
      <t>）</t>
    </r>
    <phoneticPr fontId="1" type="noConversion"/>
  </si>
  <si>
    <r>
      <rPr>
        <sz val="11"/>
        <color theme="1"/>
        <rFont val="宋体"/>
        <family val="3"/>
        <charset val="134"/>
      </rPr>
      <t>积分场</t>
    </r>
    <r>
      <rPr>
        <sz val="11"/>
        <color theme="1"/>
        <rFont val="Times New Roman"/>
        <family val="1"/>
      </rPr>
      <t>BzL [Gs·mm]</t>
    </r>
    <phoneticPr fontId="1" type="noConversion"/>
  </si>
  <si>
    <r>
      <rPr>
        <sz val="11"/>
        <color theme="1"/>
        <rFont val="宋体"/>
        <family val="3"/>
        <charset val="134"/>
      </rPr>
      <t>有效长度</t>
    </r>
    <r>
      <rPr>
        <sz val="11"/>
        <color theme="1"/>
        <rFont val="Times New Roman"/>
        <family val="1"/>
      </rPr>
      <t xml:space="preserve"> [mm]</t>
    </r>
    <phoneticPr fontId="1" type="noConversion"/>
  </si>
  <si>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X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Y</t>
    </r>
    <r>
      <rPr>
        <sz val="11"/>
        <color theme="1"/>
        <rFont val="宋体"/>
        <family val="3"/>
        <charset val="134"/>
      </rPr>
      <t>）位置</t>
    </r>
    <phoneticPr fontId="1" type="noConversion"/>
  </si>
  <si>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0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0</t>
    </r>
    <r>
      <rPr>
        <sz val="11"/>
        <color theme="1"/>
        <rFont val="宋体"/>
        <family val="3"/>
        <charset val="134"/>
      </rPr>
      <t>）</t>
    </r>
    <phoneticPr fontId="1" type="noConversion"/>
  </si>
  <si>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0</t>
    </r>
    <r>
      <rPr>
        <sz val="11"/>
        <color theme="1"/>
        <rFont val="宋体"/>
        <family val="3"/>
        <charset val="134"/>
      </rPr>
      <t>）</t>
    </r>
    <phoneticPr fontId="1" type="noConversion"/>
  </si>
  <si>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0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family val="3"/>
        <charset val="134"/>
      </rPr>
      <t>）</t>
    </r>
    <phoneticPr fontId="1" type="noConversion"/>
  </si>
  <si>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0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-5</t>
    </r>
    <r>
      <rPr>
        <sz val="11"/>
        <color theme="1"/>
        <rFont val="宋体"/>
        <family val="3"/>
        <charset val="134"/>
      </rPr>
      <t>）</t>
    </r>
    <phoneticPr fontId="1" type="noConversion"/>
  </si>
  <si>
    <r>
      <rPr>
        <sz val="11"/>
        <color theme="1"/>
        <rFont val="等线"/>
        <family val="3"/>
        <charset val="134"/>
        <scheme val="minor"/>
      </rPr>
      <t>纵向磁场分布@7.521A</t>
    </r>
    <phoneticPr fontId="1" type="noConversion"/>
  </si>
  <si>
    <t>2025.05.06~2025.05.07</t>
    <phoneticPr fontId="1" type="noConversion"/>
  </si>
  <si>
    <t>HERT-SN02</t>
    <phoneticPr fontId="1" type="noConversion"/>
  </si>
  <si>
    <r>
      <t>Y</t>
    </r>
    <r>
      <rPr>
        <sz val="11"/>
        <color theme="1"/>
        <rFont val="等线"/>
        <family val="2"/>
        <charset val="134"/>
        <scheme val="minor"/>
      </rPr>
      <t>=0平面场分布</t>
    </r>
    <phoneticPr fontId="1" type="noConversion"/>
  </si>
  <si>
    <r>
      <rPr>
        <sz val="11"/>
        <color theme="1"/>
        <rFont val="宋体"/>
        <family val="3"/>
        <charset val="134"/>
      </rPr>
      <t>峰值磁场</t>
    </r>
    <r>
      <rPr>
        <sz val="11"/>
        <color theme="1"/>
        <rFont val="Times New Roman"/>
        <family val="1"/>
      </rPr>
      <t xml:space="preserve"> [Gs]</t>
    </r>
    <phoneticPr fontId="1" type="noConversion"/>
  </si>
  <si>
    <r>
      <rPr>
        <sz val="11"/>
        <color theme="1"/>
        <rFont val="宋体"/>
        <family val="3"/>
        <charset val="134"/>
      </rPr>
      <t>积分场</t>
    </r>
    <r>
      <rPr>
        <sz val="11"/>
        <color theme="1"/>
        <rFont val="Times New Roman"/>
        <family val="1"/>
      </rPr>
      <t>[Gs.mm]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</si>
</sst>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_ "/>
    <numFmt numFmtId="177" formatCode="0.000000_ "/>
    <numFmt numFmtId="178" formatCode="0.000E+00"/>
  </numFmts>
  <fonts count="9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Wingdings 2"/>
      <family val="1"/>
      <charset val="2"/>
    </font>
    <font>
      <sz val="11"/>
      <color theme="1"/>
      <name val="宋体"/>
      <family val="3"/>
      <charset val="134"/>
    </font>
    <font>
      <u/>
      <sz val="11"/>
      <color theme="10"/>
      <name val="等线"/>
      <family val="2"/>
      <charset val="134"/>
      <scheme val="minor"/>
    </font>
    <font>
      <sz val="11"/>
      <color theme="1"/>
      <name val="Times New Roman"/>
      <family val="1"/>
    </font>
    <font>
      <sz val="18"/>
      <color theme="1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 wrapText="1"/>
    </xf>
    <xf numFmtId="177" fontId="5" fillId="0" borderId="0" xfId="0" applyNumberFormat="1" applyFont="1" applyAlignment="1">
      <alignment horizontal="center" vertical="center"/>
    </xf>
    <xf numFmtId="11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3" fillId="0" borderId="1" xfId="0" applyFont="1" applyBorder="1">
      <alignment vertical="center"/>
    </xf>
    <xf numFmtId="176" fontId="5" fillId="0" borderId="1" xfId="0" applyNumberFormat="1" applyFont="1" applyBorder="1" applyAlignment="1">
      <alignment horizontal="center" vertical="center"/>
    </xf>
    <xf numFmtId="11" fontId="5" fillId="0" borderId="0" xfId="0" applyNumberFormat="1" applyFont="1">
      <alignment vertical="center"/>
    </xf>
    <xf numFmtId="0" fontId="5" fillId="0" borderId="1" xfId="0" applyFont="1" applyBorder="1" applyAlignment="1">
      <alignment horizontal="left" vertical="center"/>
    </xf>
    <xf numFmtId="176" fontId="5" fillId="0" borderId="0" xfId="0" applyNumberFormat="1" applyFont="1" applyAlignment="1">
      <alignment horizontal="center" vertical="center"/>
    </xf>
    <xf numFmtId="11" fontId="5" fillId="0" borderId="1" xfId="0" applyNumberFormat="1" applyFont="1" applyBorder="1" applyAlignment="1">
      <alignment horizontal="center" vertical="center"/>
    </xf>
    <xf numFmtId="176" fontId="5" fillId="0" borderId="1" xfId="1" applyNumberFormat="1" applyFont="1" applyBorder="1" applyAlignment="1">
      <alignment horizontal="center" vertical="center"/>
    </xf>
    <xf numFmtId="0" fontId="5" fillId="0" borderId="0" xfId="1" applyFont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11" fontId="0" fillId="0" borderId="1" xfId="1" applyNumberFormat="1" applyFont="1" applyBorder="1" applyAlignment="1">
      <alignment vertical="center"/>
    </xf>
    <xf numFmtId="11" fontId="5" fillId="0" borderId="1" xfId="0" applyNumberFormat="1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1" fontId="5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1" fontId="3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励磁曲线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Sheet1!$B$37:$B$43</c:f>
              <c:numCache>
                <c:formatCode>0.000_ </c:formatCode>
                <c:ptCount val="7"/>
                <c:pt idx="0">
                  <c:v>1.364505E-3</c:v>
                </c:pt>
                <c:pt idx="1">
                  <c:v>1.5053528114999999</c:v>
                </c:pt>
                <c:pt idx="2">
                  <c:v>3.009341118</c:v>
                </c:pt>
                <c:pt idx="3">
                  <c:v>4.5133294244999993</c:v>
                </c:pt>
                <c:pt idx="4">
                  <c:v>6.0173177309999994</c:v>
                </c:pt>
                <c:pt idx="5">
                  <c:v>7.5213060374999996</c:v>
                </c:pt>
                <c:pt idx="6">
                  <c:v>8.4236990213999992</c:v>
                </c:pt>
              </c:numCache>
            </c:numRef>
          </c:xVal>
          <c:yVal>
            <c:numRef>
              <c:f>Sheet1!$C$37:$C$43</c:f>
              <c:numCache>
                <c:formatCode>0.000_ </c:formatCode>
                <c:ptCount val="7"/>
                <c:pt idx="0">
                  <c:v>5.8550000000000004</c:v>
                </c:pt>
                <c:pt idx="1">
                  <c:v>124.18900000000004</c:v>
                </c:pt>
                <c:pt idx="2">
                  <c:v>248.86199999999999</c:v>
                </c:pt>
                <c:pt idx="3">
                  <c:v>365.69400000000002</c:v>
                </c:pt>
                <c:pt idx="4">
                  <c:v>486.40500000000003</c:v>
                </c:pt>
                <c:pt idx="5">
                  <c:v>607.34899999999993</c:v>
                </c:pt>
                <c:pt idx="6">
                  <c:v>679.80800000000011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EC-4A8E-BFC5-59C08E6E94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4649631"/>
        <c:axId val="410027472"/>
      </c:scatterChart>
      <c:valAx>
        <c:axId val="1784649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电流</a:t>
                </a:r>
                <a:r>
                  <a:rPr lang="en-US" altLang="zh-CN"/>
                  <a:t>I[A]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0027472"/>
        <c:crosses val="autoZero"/>
        <c:crossBetween val="midCat"/>
      </c:valAx>
      <c:valAx>
        <c:axId val="410027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中心磁场强度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846496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80962</xdr:colOff>
      <xdr:row>33</xdr:row>
      <xdr:rowOff>123825</xdr:rowOff>
    </xdr:from>
    <xdr:to>
      <xdr:col>10</xdr:col>
      <xdr:colOff>681037</xdr:colOff>
      <xdr:row>48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E5A3013-3C86-3094-82E1-DB19A4B221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&#31215;&#20998;&#22330;&#22343;&#21248;&#24615;@7.521A" TargetMode="External"/><Relationship Id="rId2" Type="http://schemas.openxmlformats.org/officeDocument/2006/relationships/hyperlink" Target="mailto:&#32437;&#21521;&#30913;&#22330;&#20998;&#24067;@7.521A" TargetMode="External"/><Relationship Id="rId1" Type="http://schemas.openxmlformats.org/officeDocument/2006/relationships/hyperlink" Target="mailto:&#31215;&#20998;&#22330;BzL@7.521A%20[Gs&#183;mm]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"/>
  <sheetViews>
    <sheetView tabSelected="1" topLeftCell="A31" workbookViewId="0">
      <selection activeCell="H50" sqref="H50"/>
    </sheetView>
  </sheetViews>
  <sheetFormatPr defaultRowHeight="14.25" x14ac:dyDescent="0.2"/>
  <cols>
    <col min="1" max="1" width="20.625" customWidth="1"/>
    <col min="2" max="6" width="16.625" customWidth="1"/>
    <col min="7" max="7" width="14.125" customWidth="1"/>
    <col min="8" max="8" width="12.375" customWidth="1"/>
    <col min="9" max="9" width="15.125" customWidth="1"/>
    <col min="10" max="10" width="10.5" customWidth="1"/>
  </cols>
  <sheetData>
    <row r="1" spans="1:6" ht="23.25" x14ac:dyDescent="0.2">
      <c r="A1" s="20" t="s">
        <v>32</v>
      </c>
      <c r="B1" s="20"/>
      <c r="C1" s="20"/>
      <c r="D1" s="20"/>
      <c r="E1" s="20"/>
      <c r="F1" s="20"/>
    </row>
    <row r="2" spans="1:6" ht="15" x14ac:dyDescent="0.2">
      <c r="A2" s="8" t="s">
        <v>7</v>
      </c>
      <c r="B2" s="9" t="s">
        <v>16</v>
      </c>
      <c r="C2" s="2"/>
      <c r="D2" s="2"/>
      <c r="E2" s="2"/>
      <c r="F2" s="2"/>
    </row>
    <row r="3" spans="1:6" ht="15" x14ac:dyDescent="0.2">
      <c r="A3" s="8" t="s">
        <v>8</v>
      </c>
      <c r="B3" s="8" t="s">
        <v>53</v>
      </c>
      <c r="C3" s="2"/>
      <c r="D3" s="2"/>
      <c r="E3" s="2"/>
      <c r="F3" s="2"/>
    </row>
    <row r="4" spans="1:6" ht="15" x14ac:dyDescent="0.2">
      <c r="A4" s="8" t="s">
        <v>10</v>
      </c>
      <c r="B4" s="9" t="s">
        <v>17</v>
      </c>
      <c r="C4" s="2"/>
      <c r="D4" s="2"/>
      <c r="E4" s="2"/>
      <c r="F4" s="2"/>
    </row>
    <row r="5" spans="1:6" ht="15" x14ac:dyDescent="0.2">
      <c r="A5" s="8" t="s">
        <v>9</v>
      </c>
      <c r="B5" s="8"/>
      <c r="C5" s="2"/>
      <c r="D5" s="2"/>
      <c r="E5" s="2"/>
      <c r="F5" s="2"/>
    </row>
    <row r="6" spans="1:6" ht="15" x14ac:dyDescent="0.2">
      <c r="A6" s="8" t="s">
        <v>13</v>
      </c>
      <c r="B6" s="2" t="s">
        <v>52</v>
      </c>
      <c r="C6" s="2"/>
      <c r="D6" s="2"/>
      <c r="E6" s="2"/>
      <c r="F6" s="2"/>
    </row>
    <row r="7" spans="1:6" ht="15" x14ac:dyDescent="0.2">
      <c r="A7" s="8" t="s">
        <v>11</v>
      </c>
      <c r="B7" s="8" t="s">
        <v>12</v>
      </c>
      <c r="C7" s="2"/>
      <c r="D7" s="2"/>
      <c r="E7" s="2"/>
      <c r="F7" s="2"/>
    </row>
    <row r="8" spans="1:6" ht="15" x14ac:dyDescent="0.2">
      <c r="A8" s="2"/>
      <c r="B8" s="2"/>
      <c r="C8" s="2"/>
      <c r="D8" s="2"/>
      <c r="E8" s="2"/>
      <c r="F8" s="2"/>
    </row>
    <row r="9" spans="1:6" ht="15" x14ac:dyDescent="0.2">
      <c r="A9" s="27" t="s">
        <v>41</v>
      </c>
      <c r="B9" s="8"/>
      <c r="C9" s="8" t="s">
        <v>6</v>
      </c>
      <c r="D9" s="8" t="s">
        <v>5</v>
      </c>
      <c r="E9" s="8" t="s">
        <v>4</v>
      </c>
      <c r="F9" s="8" t="s">
        <v>14</v>
      </c>
    </row>
    <row r="10" spans="1:6" ht="15" x14ac:dyDescent="0.2">
      <c r="A10" s="28"/>
      <c r="B10" s="8" t="s">
        <v>0</v>
      </c>
      <c r="C10" s="10">
        <v>-114.898</v>
      </c>
      <c r="D10" s="10">
        <v>219.023</v>
      </c>
      <c r="E10" s="10">
        <v>11.965999999999999</v>
      </c>
      <c r="F10" s="21" t="s">
        <v>33</v>
      </c>
    </row>
    <row r="11" spans="1:6" ht="15" x14ac:dyDescent="0.2">
      <c r="A11" s="28"/>
      <c r="B11" s="8" t="s">
        <v>1</v>
      </c>
      <c r="C11" s="10">
        <v>-115.023</v>
      </c>
      <c r="D11" s="10">
        <v>219.006</v>
      </c>
      <c r="E11" s="10">
        <v>-11</v>
      </c>
      <c r="F11" s="22"/>
    </row>
    <row r="12" spans="1:6" ht="15" x14ac:dyDescent="0.2">
      <c r="A12" s="28"/>
      <c r="B12" s="8" t="s">
        <v>2</v>
      </c>
      <c r="C12" s="10">
        <v>115.053</v>
      </c>
      <c r="D12" s="10">
        <v>219.017</v>
      </c>
      <c r="E12" s="10">
        <v>-11.483000000000001</v>
      </c>
      <c r="F12" s="22"/>
    </row>
    <row r="13" spans="1:6" ht="15" x14ac:dyDescent="0.2">
      <c r="A13" s="28"/>
      <c r="B13" s="8" t="s">
        <v>3</v>
      </c>
      <c r="C13" s="10">
        <v>114.997</v>
      </c>
      <c r="D13" s="10">
        <v>219.02</v>
      </c>
      <c r="E13" s="10">
        <v>11.622</v>
      </c>
      <c r="F13" s="22"/>
    </row>
    <row r="14" spans="1:6" ht="15" x14ac:dyDescent="0.2">
      <c r="A14" s="28"/>
      <c r="B14" s="8" t="s">
        <v>18</v>
      </c>
      <c r="C14" s="10">
        <v>-67.394999999999996</v>
      </c>
      <c r="D14" s="10">
        <v>-130.16499999999999</v>
      </c>
      <c r="E14" s="10">
        <v>54.125</v>
      </c>
      <c r="F14" s="22"/>
    </row>
    <row r="15" spans="1:6" ht="15" x14ac:dyDescent="0.2">
      <c r="A15" s="28"/>
      <c r="B15" s="8" t="s">
        <v>19</v>
      </c>
      <c r="C15" s="10">
        <v>-87.373000000000005</v>
      </c>
      <c r="D15" s="10">
        <v>175.93299999999999</v>
      </c>
      <c r="E15" s="10">
        <v>54.37</v>
      </c>
      <c r="F15" s="22"/>
    </row>
    <row r="16" spans="1:6" ht="15" x14ac:dyDescent="0.2">
      <c r="A16" s="28"/>
      <c r="B16" s="8" t="s">
        <v>20</v>
      </c>
      <c r="C16" s="10">
        <v>87.637</v>
      </c>
      <c r="D16" s="10">
        <v>175.92400000000001</v>
      </c>
      <c r="E16" s="10">
        <v>53.968000000000004</v>
      </c>
      <c r="F16" s="22"/>
    </row>
    <row r="17" spans="1:6" ht="15" x14ac:dyDescent="0.2">
      <c r="A17" s="28"/>
      <c r="B17" s="8" t="s">
        <v>21</v>
      </c>
      <c r="C17" s="10">
        <v>67.658000000000001</v>
      </c>
      <c r="D17" s="10">
        <v>-130.08600000000001</v>
      </c>
      <c r="E17" s="10">
        <v>53.956000000000003</v>
      </c>
      <c r="F17" s="22"/>
    </row>
    <row r="18" spans="1:6" ht="15" x14ac:dyDescent="0.2">
      <c r="A18" s="28"/>
      <c r="B18" s="8" t="s">
        <v>22</v>
      </c>
      <c r="C18" s="10">
        <v>-87.599000000000004</v>
      </c>
      <c r="D18" s="10">
        <v>175.988</v>
      </c>
      <c r="E18" s="10">
        <v>-53.47</v>
      </c>
      <c r="F18" s="22"/>
    </row>
    <row r="19" spans="1:6" ht="15" x14ac:dyDescent="0.2">
      <c r="A19" s="28"/>
      <c r="B19" s="8" t="s">
        <v>23</v>
      </c>
      <c r="C19" s="10">
        <v>-67.42</v>
      </c>
      <c r="D19" s="10">
        <v>-130.04599999999999</v>
      </c>
      <c r="E19" s="10">
        <v>-54.066000000000003</v>
      </c>
      <c r="F19" s="22"/>
    </row>
    <row r="20" spans="1:6" ht="15" x14ac:dyDescent="0.2">
      <c r="A20" s="28"/>
      <c r="B20" s="8" t="s">
        <v>24</v>
      </c>
      <c r="C20" s="10">
        <v>67.605999999999995</v>
      </c>
      <c r="D20" s="10">
        <v>-130.035</v>
      </c>
      <c r="E20" s="10">
        <v>-54.155000000000001</v>
      </c>
      <c r="F20" s="22"/>
    </row>
    <row r="21" spans="1:6" ht="15" x14ac:dyDescent="0.2">
      <c r="A21" s="28"/>
      <c r="B21" s="8" t="s">
        <v>25</v>
      </c>
      <c r="C21" s="10">
        <v>87.421000000000006</v>
      </c>
      <c r="D21" s="10">
        <v>176.03800000000001</v>
      </c>
      <c r="E21" s="10">
        <v>-53.807000000000002</v>
      </c>
      <c r="F21" s="23"/>
    </row>
    <row r="22" spans="1:6" ht="15" x14ac:dyDescent="0.2">
      <c r="A22" s="31" t="s">
        <v>40</v>
      </c>
      <c r="B22" s="8"/>
      <c r="C22" s="7" t="s">
        <v>28</v>
      </c>
      <c r="D22" s="7" t="s">
        <v>29</v>
      </c>
      <c r="E22" s="7" t="s">
        <v>30</v>
      </c>
      <c r="F22" s="7" t="s">
        <v>31</v>
      </c>
    </row>
    <row r="23" spans="1:6" ht="15" x14ac:dyDescent="0.2">
      <c r="A23" s="32"/>
      <c r="B23" s="8" t="s">
        <v>0</v>
      </c>
      <c r="C23" s="10">
        <v>-7.2999999999999995E-2</v>
      </c>
      <c r="D23" s="10">
        <v>4.4999999999999998E-2</v>
      </c>
      <c r="E23" s="10">
        <v>7.0000000000000001E-3</v>
      </c>
      <c r="F23" s="24"/>
    </row>
    <row r="24" spans="1:6" ht="15" x14ac:dyDescent="0.2">
      <c r="A24" s="32"/>
      <c r="B24" s="8" t="s">
        <v>1</v>
      </c>
      <c r="C24" s="10">
        <v>4.0000000000000001E-3</v>
      </c>
      <c r="D24" s="10">
        <v>5.5E-2</v>
      </c>
      <c r="E24" s="10">
        <v>-1.2999999999999999E-2</v>
      </c>
      <c r="F24" s="22"/>
    </row>
    <row r="25" spans="1:6" ht="15" x14ac:dyDescent="0.2">
      <c r="A25" s="32"/>
      <c r="B25" s="8" t="s">
        <v>2</v>
      </c>
      <c r="C25" s="10">
        <v>-5.0000000000000001E-3</v>
      </c>
      <c r="D25" s="10">
        <v>0.03</v>
      </c>
      <c r="E25" s="10">
        <v>3.5000000000000003E-2</v>
      </c>
      <c r="F25" s="22"/>
    </row>
    <row r="26" spans="1:6" ht="15" x14ac:dyDescent="0.2">
      <c r="A26" s="32"/>
      <c r="B26" s="8" t="s">
        <v>3</v>
      </c>
      <c r="C26" s="10">
        <v>2.4E-2</v>
      </c>
      <c r="D26" s="10">
        <v>3.3000000000000002E-2</v>
      </c>
      <c r="E26" s="10">
        <v>-3.7999999999999999E-2</v>
      </c>
      <c r="F26" s="22"/>
    </row>
    <row r="27" spans="1:6" ht="14.1" customHeight="1" x14ac:dyDescent="0.2">
      <c r="A27" s="32"/>
      <c r="B27" s="8" t="s">
        <v>18</v>
      </c>
      <c r="C27" s="10">
        <v>6.5000000000000002E-2</v>
      </c>
      <c r="D27" s="10">
        <v>7.0000000000000001E-3</v>
      </c>
      <c r="E27" s="10">
        <v>3.0000000000000001E-3</v>
      </c>
      <c r="F27" s="22"/>
    </row>
    <row r="28" spans="1:6" ht="15" x14ac:dyDescent="0.2">
      <c r="A28" s="32"/>
      <c r="B28" s="8" t="s">
        <v>19</v>
      </c>
      <c r="C28" s="10">
        <v>4.2999999999999997E-2</v>
      </c>
      <c r="D28" s="10">
        <v>-1.2999999999999999E-2</v>
      </c>
      <c r="E28" s="10">
        <v>0.13300000000000001</v>
      </c>
      <c r="F28" s="22"/>
    </row>
    <row r="29" spans="1:6" ht="15" x14ac:dyDescent="0.2">
      <c r="A29" s="32"/>
      <c r="B29" s="8" t="s">
        <v>20</v>
      </c>
      <c r="C29" s="10">
        <v>2.3E-2</v>
      </c>
      <c r="D29" s="10">
        <v>-2.3E-2</v>
      </c>
      <c r="E29" s="10">
        <v>0.15</v>
      </c>
      <c r="F29" s="22"/>
    </row>
    <row r="30" spans="1:6" ht="15" x14ac:dyDescent="0.2">
      <c r="A30" s="32"/>
      <c r="B30" s="8" t="s">
        <v>21</v>
      </c>
      <c r="C30" s="10">
        <v>-3.7999999999999999E-2</v>
      </c>
      <c r="D30" s="10">
        <v>1.2E-2</v>
      </c>
      <c r="E30" s="10">
        <v>1.9E-2</v>
      </c>
      <c r="F30" s="22"/>
    </row>
    <row r="31" spans="1:6" ht="15" x14ac:dyDescent="0.2">
      <c r="A31" s="32"/>
      <c r="B31" s="8" t="s">
        <v>22</v>
      </c>
      <c r="C31" s="10">
        <v>-3.2000000000000001E-2</v>
      </c>
      <c r="D31" s="10">
        <v>6.0000000000000001E-3</v>
      </c>
      <c r="E31" s="10">
        <v>-0.11799999999999999</v>
      </c>
      <c r="F31" s="22"/>
    </row>
    <row r="32" spans="1:6" ht="15" x14ac:dyDescent="0.2">
      <c r="A32" s="32"/>
      <c r="B32" s="8" t="s">
        <v>23</v>
      </c>
      <c r="C32" s="10">
        <v>-4.3999999999999997E-2</v>
      </c>
      <c r="D32" s="10">
        <v>-9.0999999999999998E-2</v>
      </c>
      <c r="E32" s="10">
        <v>-0.06</v>
      </c>
      <c r="F32" s="22"/>
    </row>
    <row r="33" spans="1:6" ht="15" x14ac:dyDescent="0.2">
      <c r="A33" s="32"/>
      <c r="B33" s="8" t="s">
        <v>24</v>
      </c>
      <c r="C33" s="10">
        <v>2.5000000000000001E-2</v>
      </c>
      <c r="D33" s="10">
        <v>8.9999999999999993E-3</v>
      </c>
      <c r="E33" s="10">
        <v>1.4E-2</v>
      </c>
      <c r="F33" s="22"/>
    </row>
    <row r="34" spans="1:6" ht="15" x14ac:dyDescent="0.2">
      <c r="A34" s="32"/>
      <c r="B34" s="8" t="s">
        <v>25</v>
      </c>
      <c r="C34" s="10">
        <v>8.0000000000000002E-3</v>
      </c>
      <c r="D34" s="10">
        <v>-7.0000000000000007E-2</v>
      </c>
      <c r="E34" s="10">
        <v>-0.13200000000000001</v>
      </c>
      <c r="F34" s="23"/>
    </row>
    <row r="35" spans="1:6" ht="15" x14ac:dyDescent="0.2">
      <c r="A35" s="2"/>
      <c r="B35" s="2"/>
      <c r="C35" s="2"/>
      <c r="D35" s="2"/>
      <c r="E35" s="2"/>
      <c r="F35" s="2"/>
    </row>
    <row r="36" spans="1:6" ht="15" x14ac:dyDescent="0.2">
      <c r="A36" s="28" t="s">
        <v>26</v>
      </c>
      <c r="B36" s="8" t="s">
        <v>15</v>
      </c>
      <c r="C36" s="8" t="s">
        <v>27</v>
      </c>
      <c r="D36" s="3"/>
      <c r="E36" s="2"/>
      <c r="F36" s="3"/>
    </row>
    <row r="37" spans="1:6" ht="15" x14ac:dyDescent="0.2">
      <c r="A37" s="28"/>
      <c r="B37" s="10">
        <v>1.364505E-3</v>
      </c>
      <c r="C37" s="10">
        <v>5.8550000000000004</v>
      </c>
      <c r="D37" s="4"/>
      <c r="E37" s="4"/>
      <c r="F37" s="4"/>
    </row>
    <row r="38" spans="1:6" ht="15" x14ac:dyDescent="0.2">
      <c r="A38" s="28"/>
      <c r="B38" s="10">
        <v>1.5053528114999999</v>
      </c>
      <c r="C38" s="10">
        <v>124.18900000000004</v>
      </c>
      <c r="D38" s="4"/>
      <c r="E38" s="4"/>
      <c r="F38" s="4"/>
    </row>
    <row r="39" spans="1:6" ht="15" x14ac:dyDescent="0.2">
      <c r="A39" s="28"/>
      <c r="B39" s="10">
        <v>3.009341118</v>
      </c>
      <c r="C39" s="10">
        <v>248.86199999999999</v>
      </c>
      <c r="D39" s="4"/>
      <c r="E39" s="4"/>
      <c r="F39" s="4"/>
    </row>
    <row r="40" spans="1:6" ht="15" x14ac:dyDescent="0.2">
      <c r="A40" s="28"/>
      <c r="B40" s="10">
        <v>4.5133294244999993</v>
      </c>
      <c r="C40" s="10">
        <v>365.69400000000002</v>
      </c>
      <c r="D40" s="4"/>
      <c r="E40" s="4"/>
      <c r="F40" s="4"/>
    </row>
    <row r="41" spans="1:6" ht="15" x14ac:dyDescent="0.2">
      <c r="A41" s="28"/>
      <c r="B41" s="10">
        <v>6.0173177309999994</v>
      </c>
      <c r="C41" s="10">
        <v>486.40500000000003</v>
      </c>
      <c r="D41" s="4"/>
      <c r="E41" s="4"/>
      <c r="F41" s="4"/>
    </row>
    <row r="42" spans="1:6" ht="15" x14ac:dyDescent="0.2">
      <c r="A42" s="28"/>
      <c r="B42" s="10">
        <v>7.5213060374999996</v>
      </c>
      <c r="C42" s="10">
        <v>607.34899999999993</v>
      </c>
      <c r="D42" s="4"/>
      <c r="E42" s="4"/>
      <c r="F42" s="4"/>
    </row>
    <row r="43" spans="1:6" ht="15" x14ac:dyDescent="0.2">
      <c r="A43" s="28"/>
      <c r="B43" s="10">
        <v>8.4236990213999992</v>
      </c>
      <c r="C43" s="10">
        <v>679.80800000000011</v>
      </c>
      <c r="D43" s="4"/>
      <c r="E43" s="4"/>
      <c r="F43" s="4"/>
    </row>
    <row r="44" spans="1:6" ht="15" x14ac:dyDescent="0.2">
      <c r="A44" s="6"/>
      <c r="B44" s="13"/>
      <c r="C44" s="13"/>
      <c r="D44" s="4"/>
      <c r="E44" s="4"/>
      <c r="F44" s="4"/>
    </row>
    <row r="45" spans="1:6" ht="15" x14ac:dyDescent="0.2">
      <c r="A45" s="33" t="s">
        <v>51</v>
      </c>
      <c r="B45" s="15" t="s">
        <v>44</v>
      </c>
      <c r="C45" s="10" t="s">
        <v>55</v>
      </c>
      <c r="D45" s="14" t="s">
        <v>45</v>
      </c>
      <c r="E45" s="4"/>
    </row>
    <row r="46" spans="1:6" ht="15" x14ac:dyDescent="0.2">
      <c r="A46" s="34"/>
      <c r="B46" s="10">
        <v>27393.69</v>
      </c>
      <c r="C46" s="10">
        <v>607.66</v>
      </c>
      <c r="D46" s="10">
        <f>B46/C46</f>
        <v>45.080620741862226</v>
      </c>
      <c r="E46" s="4"/>
    </row>
    <row r="47" spans="1:6" ht="15" x14ac:dyDescent="0.2">
      <c r="A47" s="16"/>
      <c r="B47" s="13"/>
      <c r="C47" s="4"/>
      <c r="D47" s="4"/>
      <c r="E47" s="4"/>
      <c r="F47" s="4"/>
    </row>
    <row r="48" spans="1:6" ht="15" x14ac:dyDescent="0.2">
      <c r="A48" s="18" t="s">
        <v>54</v>
      </c>
      <c r="B48" s="10" t="s">
        <v>46</v>
      </c>
      <c r="C48" s="7" t="s">
        <v>56</v>
      </c>
      <c r="D48" s="7" t="s">
        <v>42</v>
      </c>
      <c r="E48" s="6"/>
      <c r="F48" s="2"/>
    </row>
    <row r="49" spans="1:6" ht="15" x14ac:dyDescent="0.2">
      <c r="A49" s="19"/>
      <c r="B49" s="10" t="s">
        <v>47</v>
      </c>
      <c r="C49" s="10">
        <v>27393.69</v>
      </c>
      <c r="D49" s="17">
        <f>C49/27393.69-1</f>
        <v>0</v>
      </c>
      <c r="E49" s="6"/>
      <c r="F49" s="2"/>
    </row>
    <row r="50" spans="1:6" ht="15" x14ac:dyDescent="0.2">
      <c r="A50" s="19"/>
      <c r="B50" s="10" t="s">
        <v>48</v>
      </c>
      <c r="C50" s="10">
        <v>27389.919999999998</v>
      </c>
      <c r="D50" s="17">
        <f t="shared" ref="D50:D53" si="0">C50/27393.69-1</f>
        <v>-1.3762293433272621E-4</v>
      </c>
      <c r="E50" s="6"/>
      <c r="F50" s="2"/>
    </row>
    <row r="51" spans="1:6" ht="15" x14ac:dyDescent="0.2">
      <c r="A51" s="19"/>
      <c r="B51" s="10" t="s">
        <v>43</v>
      </c>
      <c r="C51" s="10">
        <v>27391.26</v>
      </c>
      <c r="D51" s="17">
        <f t="shared" si="0"/>
        <v>-8.8706559795315165E-5</v>
      </c>
      <c r="E51" s="6"/>
      <c r="F51" s="2"/>
    </row>
    <row r="52" spans="1:6" ht="15" x14ac:dyDescent="0.2">
      <c r="A52" s="19"/>
      <c r="B52" s="10" t="s">
        <v>49</v>
      </c>
      <c r="C52" s="10">
        <v>27394.92</v>
      </c>
      <c r="D52" s="17">
        <f t="shared" si="0"/>
        <v>4.4900851254414675E-5</v>
      </c>
      <c r="E52" s="6"/>
      <c r="F52" s="2"/>
    </row>
    <row r="53" spans="1:6" ht="15" x14ac:dyDescent="0.2">
      <c r="A53" s="19"/>
      <c r="B53" s="10" t="s">
        <v>50</v>
      </c>
      <c r="C53" s="10">
        <v>27396.42</v>
      </c>
      <c r="D53" s="17">
        <f t="shared" si="0"/>
        <v>9.9657986930568043E-5</v>
      </c>
      <c r="E53" s="6"/>
      <c r="F53" s="2"/>
    </row>
    <row r="54" spans="1:6" ht="15" x14ac:dyDescent="0.2">
      <c r="A54" s="5"/>
      <c r="B54" s="6"/>
      <c r="C54" s="6"/>
      <c r="D54" s="2"/>
      <c r="E54" s="2"/>
      <c r="F54" s="2"/>
    </row>
    <row r="55" spans="1:6" x14ac:dyDescent="0.2">
      <c r="A55" s="29" t="s">
        <v>34</v>
      </c>
      <c r="B55" s="25" t="s">
        <v>35</v>
      </c>
      <c r="C55" s="25"/>
      <c r="D55" s="25"/>
      <c r="E55" s="25"/>
      <c r="F55" s="25"/>
    </row>
    <row r="56" spans="1:6" x14ac:dyDescent="0.2">
      <c r="A56" s="30"/>
      <c r="B56" s="25"/>
      <c r="C56" s="25"/>
      <c r="D56" s="25"/>
      <c r="E56" s="25"/>
      <c r="F56" s="25"/>
    </row>
    <row r="57" spans="1:6" ht="15" x14ac:dyDescent="0.2">
      <c r="A57" s="11"/>
      <c r="B57" s="2"/>
      <c r="C57" s="2"/>
      <c r="D57" s="2"/>
      <c r="E57" s="2"/>
    </row>
    <row r="58" spans="1:6" ht="15" x14ac:dyDescent="0.2">
      <c r="A58" s="26" t="s">
        <v>38</v>
      </c>
      <c r="B58" s="12" t="s">
        <v>36</v>
      </c>
      <c r="C58" s="27" t="s">
        <v>37</v>
      </c>
      <c r="D58" s="27"/>
      <c r="E58" s="27"/>
      <c r="F58" s="27"/>
    </row>
    <row r="59" spans="1:6" x14ac:dyDescent="0.2">
      <c r="A59" s="26"/>
      <c r="B59" s="25" t="s">
        <v>39</v>
      </c>
      <c r="C59" s="28"/>
      <c r="D59" s="28"/>
      <c r="E59" s="28"/>
      <c r="F59" s="28"/>
    </row>
    <row r="60" spans="1:6" x14ac:dyDescent="0.2">
      <c r="A60" s="26"/>
      <c r="B60" s="25"/>
      <c r="C60" s="28"/>
      <c r="D60" s="28"/>
      <c r="E60" s="28"/>
      <c r="F60" s="28"/>
    </row>
    <row r="61" spans="1:6" x14ac:dyDescent="0.2">
      <c r="A61" s="1"/>
    </row>
    <row r="62" spans="1:6" x14ac:dyDescent="0.2">
      <c r="A62" s="1"/>
    </row>
    <row r="63" spans="1:6" x14ac:dyDescent="0.2">
      <c r="A63" s="1"/>
    </row>
    <row r="64" spans="1:6" x14ac:dyDescent="0.2">
      <c r="A64" s="1"/>
    </row>
  </sheetData>
  <mergeCells count="13">
    <mergeCell ref="A1:F1"/>
    <mergeCell ref="F10:F21"/>
    <mergeCell ref="F23:F34"/>
    <mergeCell ref="B55:F56"/>
    <mergeCell ref="A58:A60"/>
    <mergeCell ref="C58:F58"/>
    <mergeCell ref="B59:B60"/>
    <mergeCell ref="C59:F60"/>
    <mergeCell ref="A9:A21"/>
    <mergeCell ref="A55:A56"/>
    <mergeCell ref="A36:A43"/>
    <mergeCell ref="A22:A34"/>
    <mergeCell ref="A45:A46"/>
  </mergeCells>
  <phoneticPr fontId="1" type="noConversion"/>
  <hyperlinks>
    <hyperlink ref="B45" r:id="rId1" display="积分场BzL@7.521A [Gs·mm]" xr:uid="{00000000-0004-0000-0000-000000000000}"/>
    <hyperlink ref="A45" r:id="rId2" xr:uid="{00000000-0004-0000-0000-000001000000}"/>
    <hyperlink ref="A48" r:id="rId3" display="积分场均匀性@7.521A" xr:uid="{00000000-0004-0000-0000-000002000000}"/>
  </hyperlinks>
  <pageMargins left="0.7" right="0.7" top="0.75" bottom="0.75" header="0.3" footer="0.3"/>
  <pageSetup paperSize="9" orientation="portrait" horizontalDpi="4294967293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zhr nirvana</cp:lastModifiedBy>
  <dcterms:created xsi:type="dcterms:W3CDTF">2025-03-12T06:07:19Z</dcterms:created>
  <dcterms:modified xsi:type="dcterms:W3CDTF">2026-08-20T03:20:22Z</dcterms:modified>
</cp:coreProperties>
</file>